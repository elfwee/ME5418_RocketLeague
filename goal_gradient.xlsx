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YihLu\Desktop\"/>
    </mc:Choice>
  </mc:AlternateContent>
  <xr:revisionPtr revIDLastSave="0" documentId="8_{816AE5B0-C9A4-4C0C-BC9C-2EA124E38051}" xr6:coauthVersionLast="47" xr6:coauthVersionMax="47" xr10:uidLastSave="{00000000-0000-0000-0000-000000000000}"/>
  <bookViews>
    <workbookView xWindow="12048" yWindow="840" windowWidth="24180" windowHeight="15156" xr2:uid="{B758052F-F002-4C35-8227-F39D25DFF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31" i="1" l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AB18" i="1"/>
  <c r="S18" i="1"/>
  <c r="R18" i="1"/>
  <c r="Q18" i="1"/>
  <c r="X17" i="1"/>
  <c r="W17" i="1"/>
  <c r="V17" i="1"/>
  <c r="H17" i="1"/>
  <c r="AB15" i="1"/>
  <c r="U15" i="1"/>
  <c r="R15" i="1"/>
  <c r="Q15" i="1"/>
  <c r="AB14" i="1"/>
  <c r="T12" i="1"/>
  <c r="S12" i="1"/>
  <c r="R12" i="1"/>
  <c r="Q12" i="1"/>
  <c r="AB11" i="1"/>
  <c r="U9" i="1"/>
  <c r="T9" i="1"/>
  <c r="S9" i="1"/>
  <c r="R9" i="1"/>
  <c r="Q9" i="1"/>
  <c r="H9" i="1"/>
  <c r="I6" i="1"/>
  <c r="I11" i="1" s="1"/>
  <c r="J6" i="1"/>
  <c r="J18" i="1" s="1"/>
  <c r="K6" i="1"/>
  <c r="K15" i="1" s="1"/>
  <c r="L6" i="1"/>
  <c r="L11" i="1" s="1"/>
  <c r="M6" i="1"/>
  <c r="M18" i="1" s="1"/>
  <c r="N6" i="1"/>
  <c r="N18" i="1" s="1"/>
  <c r="O6" i="1"/>
  <c r="O16" i="1" s="1"/>
  <c r="P6" i="1"/>
  <c r="P15" i="1" s="1"/>
  <c r="Q6" i="1"/>
  <c r="Q17" i="1" s="1"/>
  <c r="R6" i="1"/>
  <c r="R17" i="1" s="1"/>
  <c r="S6" i="1"/>
  <c r="S15" i="1" s="1"/>
  <c r="T6" i="1"/>
  <c r="T15" i="1" s="1"/>
  <c r="U6" i="1"/>
  <c r="U17" i="1" s="1"/>
  <c r="V6" i="1"/>
  <c r="V16" i="1" s="1"/>
  <c r="W6" i="1"/>
  <c r="W16" i="1" s="1"/>
  <c r="X6" i="1"/>
  <c r="X16" i="1" s="1"/>
  <c r="Y6" i="1"/>
  <c r="Y16" i="1" s="1"/>
  <c r="Z6" i="1"/>
  <c r="Z13" i="1" s="1"/>
  <c r="AA6" i="1"/>
  <c r="AA16" i="1" s="1"/>
  <c r="AB6" i="1"/>
  <c r="AB16" i="1" s="1"/>
  <c r="H6" i="1"/>
  <c r="H11" i="1" s="1"/>
  <c r="AB21" i="1"/>
  <c r="AA21" i="1"/>
  <c r="X21" i="1"/>
  <c r="W21" i="1"/>
  <c r="V21" i="1"/>
  <c r="U21" i="1"/>
  <c r="Q21" i="1"/>
  <c r="P21" i="1"/>
  <c r="O21" i="1"/>
  <c r="L5" i="1"/>
  <c r="M5" i="1"/>
  <c r="N5" i="1"/>
  <c r="O5" i="1"/>
  <c r="P5" i="1"/>
  <c r="Q5" i="1"/>
  <c r="R5" i="1"/>
  <c r="S5" i="1"/>
  <c r="T5" i="1"/>
  <c r="U5" i="1"/>
  <c r="V5" i="1"/>
  <c r="H5" i="1"/>
  <c r="J4" i="1"/>
  <c r="J5" i="1" s="1"/>
  <c r="K4" i="1"/>
  <c r="K5" i="1" s="1"/>
  <c r="L4" i="1"/>
  <c r="M4" i="1"/>
  <c r="N4" i="1"/>
  <c r="O4" i="1"/>
  <c r="P4" i="1"/>
  <c r="Q4" i="1"/>
  <c r="R4" i="1"/>
  <c r="S4" i="1"/>
  <c r="T4" i="1"/>
  <c r="U4" i="1"/>
  <c r="V4" i="1"/>
  <c r="W4" i="1"/>
  <c r="W5" i="1" s="1"/>
  <c r="X4" i="1"/>
  <c r="X5" i="1" s="1"/>
  <c r="Y4" i="1"/>
  <c r="Y5" i="1" s="1"/>
  <c r="Z4" i="1"/>
  <c r="Z5" i="1" s="1"/>
  <c r="AA4" i="1"/>
  <c r="AA5" i="1" s="1"/>
  <c r="AB4" i="1"/>
  <c r="AB5" i="1" s="1"/>
  <c r="I4" i="1"/>
  <c r="I5" i="1" s="1"/>
  <c r="I21" i="1" s="1"/>
  <c r="D3" i="1"/>
  <c r="D4" i="1" s="1"/>
  <c r="D7" i="1" s="1"/>
  <c r="P10" i="1" l="1"/>
  <c r="AB10" i="1"/>
  <c r="I13" i="1"/>
  <c r="P18" i="1"/>
  <c r="J13" i="1"/>
  <c r="K13" i="1"/>
  <c r="K9" i="1"/>
  <c r="P12" i="1"/>
  <c r="H13" i="1"/>
  <c r="W14" i="1"/>
  <c r="AA11" i="1"/>
  <c r="AA14" i="1"/>
  <c r="Y17" i="1"/>
  <c r="V9" i="1"/>
  <c r="V15" i="1"/>
  <c r="W9" i="1"/>
  <c r="U12" i="1"/>
  <c r="W15" i="1"/>
  <c r="X9" i="1"/>
  <c r="X15" i="1"/>
  <c r="T18" i="1"/>
  <c r="Y9" i="1"/>
  <c r="Y15" i="1"/>
  <c r="U18" i="1"/>
  <c r="Z15" i="1"/>
  <c r="V18" i="1"/>
  <c r="Q10" i="1"/>
  <c r="AA15" i="1"/>
  <c r="W18" i="1"/>
  <c r="R10" i="1"/>
  <c r="Q13" i="1"/>
  <c r="AA18" i="1"/>
  <c r="S10" i="1"/>
  <c r="R13" i="1"/>
  <c r="P16" i="1"/>
  <c r="T10" i="1"/>
  <c r="S13" i="1"/>
  <c r="Q16" i="1"/>
  <c r="U10" i="1"/>
  <c r="T13" i="1"/>
  <c r="R16" i="1"/>
  <c r="V10" i="1"/>
  <c r="U13" i="1"/>
  <c r="S16" i="1"/>
  <c r="W10" i="1"/>
  <c r="V13" i="1"/>
  <c r="T16" i="1"/>
  <c r="AA10" i="1"/>
  <c r="W13" i="1"/>
  <c r="U16" i="1"/>
  <c r="P8" i="1"/>
  <c r="X13" i="1"/>
  <c r="Q8" i="1"/>
  <c r="Q11" i="1"/>
  <c r="Y13" i="1"/>
  <c r="I17" i="1"/>
  <c r="R8" i="1"/>
  <c r="R11" i="1"/>
  <c r="P14" i="1"/>
  <c r="J17" i="1"/>
  <c r="S8" i="1"/>
  <c r="U11" i="1"/>
  <c r="Q14" i="1"/>
  <c r="K17" i="1"/>
  <c r="T8" i="1"/>
  <c r="V11" i="1"/>
  <c r="R14" i="1"/>
  <c r="U8" i="1"/>
  <c r="W11" i="1"/>
  <c r="S14" i="1"/>
  <c r="X11" i="1"/>
  <c r="T14" i="1"/>
  <c r="S17" i="1"/>
  <c r="I9" i="1"/>
  <c r="Y11" i="1"/>
  <c r="U14" i="1"/>
  <c r="T17" i="1"/>
  <c r="J9" i="1"/>
  <c r="Z11" i="1"/>
  <c r="V14" i="1"/>
  <c r="H8" i="1"/>
  <c r="O9" i="1"/>
  <c r="H12" i="1"/>
  <c r="O13" i="1"/>
  <c r="H16" i="1"/>
  <c r="O17" i="1"/>
  <c r="I8" i="1"/>
  <c r="P9" i="1"/>
  <c r="I12" i="1"/>
  <c r="P13" i="1"/>
  <c r="I16" i="1"/>
  <c r="P17" i="1"/>
  <c r="J8" i="1"/>
  <c r="X10" i="1"/>
  <c r="J12" i="1"/>
  <c r="X14" i="1"/>
  <c r="J16" i="1"/>
  <c r="X18" i="1"/>
  <c r="K8" i="1"/>
  <c r="Y10" i="1"/>
  <c r="K12" i="1"/>
  <c r="Y14" i="1"/>
  <c r="K16" i="1"/>
  <c r="Y18" i="1"/>
  <c r="L8" i="1"/>
  <c r="Z10" i="1"/>
  <c r="L12" i="1"/>
  <c r="Z14" i="1"/>
  <c r="L16" i="1"/>
  <c r="Z18" i="1"/>
  <c r="O10" i="1"/>
  <c r="O14" i="1"/>
  <c r="O18" i="1"/>
  <c r="L9" i="1"/>
  <c r="L17" i="1"/>
  <c r="M9" i="1"/>
  <c r="N9" i="1"/>
  <c r="N13" i="1"/>
  <c r="N17" i="1"/>
  <c r="M12" i="1"/>
  <c r="N8" i="1"/>
  <c r="N16" i="1"/>
  <c r="O12" i="1"/>
  <c r="H15" i="1"/>
  <c r="I15" i="1"/>
  <c r="J11" i="1"/>
  <c r="J15" i="1"/>
  <c r="K11" i="1"/>
  <c r="Z9" i="1"/>
  <c r="L15" i="1"/>
  <c r="Z17" i="1"/>
  <c r="M11" i="1"/>
  <c r="AA13" i="1"/>
  <c r="N11" i="1"/>
  <c r="N15" i="1"/>
  <c r="AB17" i="1"/>
  <c r="H10" i="1"/>
  <c r="O11" i="1"/>
  <c r="H14" i="1"/>
  <c r="O15" i="1"/>
  <c r="H18" i="1"/>
  <c r="W8" i="1"/>
  <c r="I10" i="1"/>
  <c r="P11" i="1"/>
  <c r="W12" i="1"/>
  <c r="I14" i="1"/>
  <c r="I18" i="1"/>
  <c r="X8" i="1"/>
  <c r="J10" i="1"/>
  <c r="X12" i="1"/>
  <c r="J14" i="1"/>
  <c r="Y8" i="1"/>
  <c r="K10" i="1"/>
  <c r="Y12" i="1"/>
  <c r="K14" i="1"/>
  <c r="K18" i="1"/>
  <c r="Z8" i="1"/>
  <c r="L10" i="1"/>
  <c r="S11" i="1"/>
  <c r="Z12" i="1"/>
  <c r="L14" i="1"/>
  <c r="Z16" i="1"/>
  <c r="L18" i="1"/>
  <c r="L13" i="1"/>
  <c r="M13" i="1"/>
  <c r="M17" i="1"/>
  <c r="M8" i="1"/>
  <c r="M16" i="1"/>
  <c r="N12" i="1"/>
  <c r="O8" i="1"/>
  <c r="AA9" i="1"/>
  <c r="M15" i="1"/>
  <c r="AA17" i="1"/>
  <c r="AB9" i="1"/>
  <c r="AB13" i="1"/>
  <c r="V8" i="1"/>
  <c r="V12" i="1"/>
  <c r="AA8" i="1"/>
  <c r="M10" i="1"/>
  <c r="T11" i="1"/>
  <c r="AA12" i="1"/>
  <c r="M14" i="1"/>
  <c r="AB8" i="1"/>
  <c r="N10" i="1"/>
  <c r="AB12" i="1"/>
  <c r="N14" i="1"/>
  <c r="R21" i="1"/>
  <c r="S21" i="1"/>
  <c r="T21" i="1"/>
  <c r="Y21" i="1"/>
  <c r="Z21" i="1"/>
  <c r="J21" i="1"/>
  <c r="K21" i="1"/>
  <c r="L21" i="1"/>
  <c r="H21" i="1"/>
  <c r="M21" i="1"/>
  <c r="N21" i="1"/>
</calcChain>
</file>

<file path=xl/sharedStrings.xml><?xml version="1.0" encoding="utf-8"?>
<sst xmlns="http://schemas.openxmlformats.org/spreadsheetml/2006/main" count="2" uniqueCount="2">
  <si>
    <t>Steep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</si>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</sst>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quotePrefix="1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1059-032C-45B9-9DB0-98987FE3E53E}">
  <dimension ref="D1:AB31"/>
  <sheetViews>
    <sheetView tabSelected="1" workbookViewId="0">
      <selection activeCell="AC22" sqref="AC22"/>
    </sheetView>
  </sheetViews>
  <sheetFormatPr defaultRowHeight="14.4" x14ac:dyDescent="0.3"/>
  <cols>
    <col min="8" max="28" width="5.5546875" customWidth="1"/>
  </cols>
  <sheetData>
    <row r="1" spans="4:28" x14ac:dyDescent="0.3">
      <c r="H1">
        <v>0</v>
      </c>
      <c r="I1">
        <v>1.75</v>
      </c>
      <c r="J1">
        <v>3.5</v>
      </c>
      <c r="K1" s="4">
        <v>5.25</v>
      </c>
      <c r="L1">
        <v>7</v>
      </c>
      <c r="M1">
        <v>8.75</v>
      </c>
      <c r="N1">
        <v>10.5</v>
      </c>
      <c r="O1">
        <v>12.25</v>
      </c>
      <c r="P1">
        <v>14</v>
      </c>
      <c r="Q1">
        <v>15.75</v>
      </c>
      <c r="R1">
        <v>17.5</v>
      </c>
      <c r="S1">
        <v>19.25</v>
      </c>
      <c r="T1">
        <v>21</v>
      </c>
      <c r="U1">
        <v>22.75</v>
      </c>
      <c r="V1">
        <v>24.5</v>
      </c>
      <c r="W1">
        <v>26.25</v>
      </c>
      <c r="X1">
        <v>28</v>
      </c>
      <c r="Y1" s="4">
        <v>29.75</v>
      </c>
      <c r="Z1">
        <v>31.5</v>
      </c>
      <c r="AA1">
        <v>33.25</v>
      </c>
      <c r="AB1">
        <v>35</v>
      </c>
    </row>
    <row r="2" spans="4:28" x14ac:dyDescent="0.3">
      <c r="D2">
        <v>0.8</v>
      </c>
      <c r="H2" t="s">
        <v>0</v>
      </c>
      <c r="I2">
        <v>0.2</v>
      </c>
      <c r="J2">
        <v>0.1</v>
      </c>
      <c r="K2">
        <v>2</v>
      </c>
    </row>
    <row r="3" spans="4:28" x14ac:dyDescent="0.3">
      <c r="D3">
        <f>1/(1.5-D2^2)</f>
        <v>1.1627906976744187</v>
      </c>
      <c r="H3" s="2">
        <v>-1</v>
      </c>
      <c r="I3" s="2">
        <v>-0.9</v>
      </c>
      <c r="J3" s="2">
        <v>-0.8</v>
      </c>
      <c r="K3" s="2">
        <v>-0.7</v>
      </c>
      <c r="L3" s="2">
        <v>-0.6</v>
      </c>
      <c r="M3" s="2">
        <v>-0.5</v>
      </c>
      <c r="N3" s="2">
        <v>-0.4</v>
      </c>
      <c r="O3" s="2">
        <v>-0.3</v>
      </c>
      <c r="P3" s="2">
        <v>-0.2</v>
      </c>
      <c r="Q3" s="2">
        <v>-0.1</v>
      </c>
      <c r="R3" s="2">
        <v>0</v>
      </c>
      <c r="S3" s="2">
        <v>0.1</v>
      </c>
      <c r="T3" s="2">
        <v>0.2</v>
      </c>
      <c r="U3" s="2">
        <v>0.3</v>
      </c>
      <c r="V3" s="2">
        <v>0.4</v>
      </c>
      <c r="W3" s="2">
        <v>0.5</v>
      </c>
      <c r="X3" s="2">
        <v>0.6</v>
      </c>
      <c r="Y3" s="2">
        <v>0.7</v>
      </c>
      <c r="Z3" s="2">
        <v>0.8</v>
      </c>
      <c r="AA3" s="2">
        <v>0.9</v>
      </c>
      <c r="AB3" s="2">
        <v>1</v>
      </c>
    </row>
    <row r="4" spans="4:28" x14ac:dyDescent="0.3">
      <c r="D4">
        <f>D2*EXP(D3)</f>
        <v>2.5590782789154018</v>
      </c>
      <c r="H4" s="2">
        <v>0.1</v>
      </c>
      <c r="I4" s="2">
        <f>I3-H3</f>
        <v>9.9999999999999978E-2</v>
      </c>
      <c r="J4" s="2">
        <f t="shared" ref="J4:AB4" si="0">J3-I3</f>
        <v>9.9999999999999978E-2</v>
      </c>
      <c r="K4" s="2">
        <f t="shared" si="0"/>
        <v>0.10000000000000009</v>
      </c>
      <c r="L4" s="2">
        <f t="shared" si="0"/>
        <v>9.9999999999999978E-2</v>
      </c>
      <c r="M4" s="2">
        <f t="shared" si="0"/>
        <v>9.9999999999999978E-2</v>
      </c>
      <c r="N4" s="2">
        <f t="shared" si="0"/>
        <v>9.9999999999999978E-2</v>
      </c>
      <c r="O4" s="2">
        <f t="shared" si="0"/>
        <v>0.10000000000000003</v>
      </c>
      <c r="P4" s="2">
        <f t="shared" si="0"/>
        <v>9.9999999999999978E-2</v>
      </c>
      <c r="Q4" s="2">
        <f t="shared" si="0"/>
        <v>0.1</v>
      </c>
      <c r="R4" s="2">
        <f t="shared" si="0"/>
        <v>0.1</v>
      </c>
      <c r="S4" s="2">
        <f t="shared" si="0"/>
        <v>0.1</v>
      </c>
      <c r="T4" s="2">
        <f t="shared" si="0"/>
        <v>0.1</v>
      </c>
      <c r="U4" s="2">
        <f t="shared" si="0"/>
        <v>9.9999999999999978E-2</v>
      </c>
      <c r="V4" s="2">
        <f t="shared" si="0"/>
        <v>0.10000000000000003</v>
      </c>
      <c r="W4" s="2">
        <f t="shared" si="0"/>
        <v>9.9999999999999978E-2</v>
      </c>
      <c r="X4" s="2">
        <f t="shared" si="0"/>
        <v>9.9999999999999978E-2</v>
      </c>
      <c r="Y4" s="2">
        <f t="shared" si="0"/>
        <v>9.9999999999999978E-2</v>
      </c>
      <c r="Z4" s="2">
        <f t="shared" si="0"/>
        <v>0.10000000000000009</v>
      </c>
      <c r="AA4" s="2">
        <f t="shared" si="0"/>
        <v>9.9999999999999978E-2</v>
      </c>
      <c r="AB4" s="2">
        <f t="shared" si="0"/>
        <v>9.9999999999999978E-2</v>
      </c>
    </row>
    <row r="5" spans="4:28" x14ac:dyDescent="0.3">
      <c r="H5" s="2">
        <f xml:space="preserve"> H4 * EXP(1 / ((1 + $I$2) - H3^2))</f>
        <v>14.841315910257675</v>
      </c>
      <c r="I5" s="2">
        <f t="shared" ref="I5:AB5" si="1" xml:space="preserve"> I4 * EXP(1 / ((1 + $I$2) - I3^2))</f>
        <v>1.2988996345901491</v>
      </c>
      <c r="J5" s="2">
        <f t="shared" si="1"/>
        <v>0.59638383110653392</v>
      </c>
      <c r="K5" s="2">
        <f t="shared" si="1"/>
        <v>0.40896144709293231</v>
      </c>
      <c r="L5" s="2">
        <f t="shared" si="1"/>
        <v>0.32886468568926452</v>
      </c>
      <c r="M5" s="2">
        <f t="shared" si="1"/>
        <v>0.28651811561836876</v>
      </c>
      <c r="N5" s="2">
        <f t="shared" si="1"/>
        <v>0.26157175603482891</v>
      </c>
      <c r="O5" s="2">
        <f t="shared" si="1"/>
        <v>0.24618199682499892</v>
      </c>
      <c r="P5" s="2">
        <f t="shared" si="1"/>
        <v>0.23680550530772496</v>
      </c>
      <c r="Q5" s="2">
        <f t="shared" si="1"/>
        <v>0.23171457184032024</v>
      </c>
      <c r="R5" s="2">
        <f t="shared" si="1"/>
        <v>0.23009758908928252</v>
      </c>
      <c r="S5" s="2">
        <f t="shared" si="1"/>
        <v>0.23171457184032024</v>
      </c>
      <c r="T5" s="2">
        <f t="shared" si="1"/>
        <v>0.23680550530772504</v>
      </c>
      <c r="U5" s="2">
        <f t="shared" si="1"/>
        <v>0.24618199682499878</v>
      </c>
      <c r="V5" s="2">
        <f t="shared" si="1"/>
        <v>0.26157175603482907</v>
      </c>
      <c r="W5" s="2">
        <f t="shared" si="1"/>
        <v>0.28651811561836876</v>
      </c>
      <c r="X5" s="2">
        <f t="shared" si="1"/>
        <v>0.32886468568926452</v>
      </c>
      <c r="Y5" s="2">
        <f t="shared" si="1"/>
        <v>0.40896144709293186</v>
      </c>
      <c r="Z5" s="2">
        <f t="shared" si="1"/>
        <v>0.59638383110653459</v>
      </c>
      <c r="AA5" s="2">
        <f t="shared" si="1"/>
        <v>1.2988996345901491</v>
      </c>
      <c r="AB5" s="2">
        <f t="shared" si="1"/>
        <v>14.841315910257672</v>
      </c>
    </row>
    <row r="6" spans="4:28" x14ac:dyDescent="0.3">
      <c r="H6" s="2">
        <f>H3^2+$J$2</f>
        <v>1.1000000000000001</v>
      </c>
      <c r="I6" s="2">
        <f t="shared" ref="I6:AB6" si="2">I3^2+$J$2</f>
        <v>0.91</v>
      </c>
      <c r="J6" s="2">
        <f t="shared" si="2"/>
        <v>0.7400000000000001</v>
      </c>
      <c r="K6" s="2">
        <f t="shared" si="2"/>
        <v>0.59</v>
      </c>
      <c r="L6" s="2">
        <f t="shared" si="2"/>
        <v>0.45999999999999996</v>
      </c>
      <c r="M6" s="2">
        <f t="shared" si="2"/>
        <v>0.35</v>
      </c>
      <c r="N6" s="2">
        <f t="shared" si="2"/>
        <v>0.26</v>
      </c>
      <c r="O6" s="2">
        <f t="shared" si="2"/>
        <v>0.19</v>
      </c>
      <c r="P6" s="2">
        <f t="shared" si="2"/>
        <v>0.14000000000000001</v>
      </c>
      <c r="Q6" s="2">
        <f t="shared" si="2"/>
        <v>0.11000000000000001</v>
      </c>
      <c r="R6" s="2">
        <f t="shared" si="2"/>
        <v>0.1</v>
      </c>
      <c r="S6" s="2">
        <f t="shared" si="2"/>
        <v>0.11000000000000001</v>
      </c>
      <c r="T6" s="2">
        <f t="shared" si="2"/>
        <v>0.14000000000000001</v>
      </c>
      <c r="U6" s="2">
        <f t="shared" si="2"/>
        <v>0.19</v>
      </c>
      <c r="V6" s="2">
        <f t="shared" si="2"/>
        <v>0.26</v>
      </c>
      <c r="W6" s="2">
        <f t="shared" si="2"/>
        <v>0.35</v>
      </c>
      <c r="X6" s="2">
        <f t="shared" si="2"/>
        <v>0.45999999999999996</v>
      </c>
      <c r="Y6" s="2">
        <f t="shared" si="2"/>
        <v>0.59</v>
      </c>
      <c r="Z6" s="2">
        <f t="shared" si="2"/>
        <v>0.7400000000000001</v>
      </c>
      <c r="AA6" s="2">
        <f t="shared" si="2"/>
        <v>0.91</v>
      </c>
      <c r="AB6" s="2">
        <f t="shared" si="2"/>
        <v>1.1000000000000001</v>
      </c>
    </row>
    <row r="7" spans="4:28" x14ac:dyDescent="0.3">
      <c r="D7">
        <f>D4*0.01</f>
        <v>2.5590782789154019E-2</v>
      </c>
      <c r="G7" s="3" t="s">
        <v>1</v>
      </c>
      <c r="H7" s="1">
        <v>-1</v>
      </c>
      <c r="I7" s="1">
        <v>-0.9</v>
      </c>
      <c r="J7" s="1">
        <v>-0.8</v>
      </c>
      <c r="K7" s="1">
        <v>-0.7</v>
      </c>
      <c r="L7" s="1">
        <v>-0.6</v>
      </c>
      <c r="M7" s="1">
        <v>-0.5</v>
      </c>
      <c r="N7" s="1">
        <v>-0.4</v>
      </c>
      <c r="O7" s="1">
        <v>-0.3</v>
      </c>
      <c r="P7" s="1">
        <v>-0.2</v>
      </c>
      <c r="Q7" s="1">
        <v>-0.1</v>
      </c>
      <c r="R7" s="1">
        <v>0</v>
      </c>
      <c r="S7" s="1">
        <v>0.1</v>
      </c>
      <c r="T7" s="1">
        <v>0.2</v>
      </c>
      <c r="U7" s="1">
        <v>0.3</v>
      </c>
      <c r="V7" s="1">
        <v>0.4</v>
      </c>
      <c r="W7" s="1">
        <v>0.5</v>
      </c>
      <c r="X7" s="1">
        <v>0.6</v>
      </c>
      <c r="Y7" s="1">
        <v>0.7</v>
      </c>
      <c r="Z7" s="1">
        <v>0.8</v>
      </c>
      <c r="AA7" s="1">
        <v>0.9</v>
      </c>
      <c r="AB7" s="1">
        <v>1</v>
      </c>
    </row>
    <row r="8" spans="4:28" x14ac:dyDescent="0.3">
      <c r="F8">
        <v>0</v>
      </c>
      <c r="G8" s="1">
        <v>1</v>
      </c>
      <c r="H8">
        <f>(1-$G8)^$K$2*H$6</f>
        <v>0</v>
      </c>
      <c r="I8">
        <f t="shared" ref="I8:X18" si="3">(1-$G8)^$K$2*I$6</f>
        <v>0</v>
      </c>
      <c r="J8">
        <f t="shared" si="3"/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ref="Y8:AB18" si="4">(1-$G8)^$K$2*Y$6</f>
        <v>0</v>
      </c>
      <c r="Z8">
        <f t="shared" si="4"/>
        <v>0</v>
      </c>
      <c r="AA8">
        <f t="shared" si="4"/>
        <v>0</v>
      </c>
      <c r="AB8">
        <f t="shared" si="4"/>
        <v>0</v>
      </c>
    </row>
    <row r="9" spans="4:28" ht="15" thickBot="1" x14ac:dyDescent="0.35">
      <c r="F9">
        <v>1.8</v>
      </c>
      <c r="G9" s="1">
        <v>0.8</v>
      </c>
      <c r="H9">
        <f t="shared" ref="H9:Q18" si="5">(1-$G9)^$K$2*H$6</f>
        <v>4.3999999999999984E-2</v>
      </c>
      <c r="I9">
        <f t="shared" si="3"/>
        <v>3.6399999999999981E-2</v>
      </c>
      <c r="J9">
        <f t="shared" si="3"/>
        <v>2.9599999999999991E-2</v>
      </c>
      <c r="K9">
        <f t="shared" si="3"/>
        <v>2.3599999999999986E-2</v>
      </c>
      <c r="L9">
        <f t="shared" si="3"/>
        <v>1.8399999999999989E-2</v>
      </c>
      <c r="M9">
        <f t="shared" si="3"/>
        <v>1.3999999999999992E-2</v>
      </c>
      <c r="N9">
        <f t="shared" si="3"/>
        <v>1.0399999999999994E-2</v>
      </c>
      <c r="O9">
        <f t="shared" si="3"/>
        <v>7.5999999999999965E-3</v>
      </c>
      <c r="P9">
        <f t="shared" si="3"/>
        <v>5.5999999999999973E-3</v>
      </c>
      <c r="Q9">
        <f t="shared" si="3"/>
        <v>4.3999999999999985E-3</v>
      </c>
      <c r="R9">
        <f t="shared" si="3"/>
        <v>3.9999999999999983E-3</v>
      </c>
      <c r="S9">
        <f t="shared" si="3"/>
        <v>4.3999999999999985E-3</v>
      </c>
      <c r="T9">
        <f t="shared" si="3"/>
        <v>5.5999999999999973E-3</v>
      </c>
      <c r="U9">
        <f t="shared" si="3"/>
        <v>7.5999999999999965E-3</v>
      </c>
      <c r="V9">
        <f t="shared" si="3"/>
        <v>1.0399999999999994E-2</v>
      </c>
      <c r="W9">
        <f t="shared" si="3"/>
        <v>1.3999999999999992E-2</v>
      </c>
      <c r="X9">
        <f t="shared" si="3"/>
        <v>1.8399999999999989E-2</v>
      </c>
      <c r="Y9">
        <f t="shared" si="4"/>
        <v>2.3599999999999986E-2</v>
      </c>
      <c r="Z9">
        <f t="shared" si="4"/>
        <v>2.9599999999999991E-2</v>
      </c>
      <c r="AA9">
        <f t="shared" si="4"/>
        <v>3.6399999999999981E-2</v>
      </c>
      <c r="AB9">
        <f t="shared" si="4"/>
        <v>4.3999999999999984E-2</v>
      </c>
    </row>
    <row r="10" spans="4:28" x14ac:dyDescent="0.3">
      <c r="F10" s="4">
        <v>3.6</v>
      </c>
      <c r="G10" s="1">
        <v>0.6</v>
      </c>
      <c r="H10">
        <f t="shared" si="5"/>
        <v>0.17600000000000005</v>
      </c>
      <c r="I10">
        <f t="shared" si="3"/>
        <v>0.14560000000000003</v>
      </c>
      <c r="J10">
        <f t="shared" si="3"/>
        <v>0.11840000000000003</v>
      </c>
      <c r="K10" s="5">
        <f t="shared" si="3"/>
        <v>9.4400000000000012E-2</v>
      </c>
      <c r="L10" s="7">
        <f t="shared" si="3"/>
        <v>7.3600000000000013E-2</v>
      </c>
      <c r="M10" s="6">
        <f t="shared" si="3"/>
        <v>5.6000000000000008E-2</v>
      </c>
      <c r="N10" s="6">
        <f t="shared" si="3"/>
        <v>4.1600000000000012E-2</v>
      </c>
      <c r="O10" s="6">
        <f t="shared" si="3"/>
        <v>3.0400000000000007E-2</v>
      </c>
      <c r="P10" s="6">
        <f t="shared" si="3"/>
        <v>2.2400000000000007E-2</v>
      </c>
      <c r="Q10" s="6">
        <f t="shared" si="3"/>
        <v>1.7600000000000005E-2</v>
      </c>
      <c r="R10" s="6">
        <f t="shared" si="3"/>
        <v>1.6000000000000004E-2</v>
      </c>
      <c r="S10" s="6">
        <f t="shared" si="3"/>
        <v>1.7600000000000005E-2</v>
      </c>
      <c r="T10" s="6">
        <f t="shared" si="3"/>
        <v>2.2400000000000007E-2</v>
      </c>
      <c r="U10" s="6">
        <f t="shared" si="3"/>
        <v>3.0400000000000007E-2</v>
      </c>
      <c r="V10" s="6">
        <f t="shared" si="3"/>
        <v>4.1600000000000012E-2</v>
      </c>
      <c r="W10" s="6">
        <f t="shared" si="3"/>
        <v>5.6000000000000008E-2</v>
      </c>
      <c r="X10" s="5">
        <f t="shared" si="3"/>
        <v>7.3600000000000013E-2</v>
      </c>
      <c r="Y10" s="7">
        <f t="shared" si="4"/>
        <v>9.4400000000000012E-2</v>
      </c>
      <c r="Z10">
        <f t="shared" si="4"/>
        <v>0.11840000000000003</v>
      </c>
      <c r="AA10">
        <f t="shared" si="4"/>
        <v>0.14560000000000003</v>
      </c>
      <c r="AB10">
        <f t="shared" si="4"/>
        <v>0.17600000000000005</v>
      </c>
    </row>
    <row r="11" spans="4:28" ht="15" thickBot="1" x14ac:dyDescent="0.35">
      <c r="F11">
        <v>5.4</v>
      </c>
      <c r="G11" s="1">
        <v>0.4</v>
      </c>
      <c r="H11">
        <f t="shared" si="5"/>
        <v>0.39600000000000002</v>
      </c>
      <c r="I11">
        <f t="shared" si="3"/>
        <v>0.3276</v>
      </c>
      <c r="J11">
        <f t="shared" si="3"/>
        <v>0.26640000000000003</v>
      </c>
      <c r="K11" s="11">
        <f t="shared" si="3"/>
        <v>0.21239999999999998</v>
      </c>
      <c r="L11" s="13">
        <f t="shared" si="3"/>
        <v>0.16559999999999997</v>
      </c>
      <c r="M11" s="9">
        <f t="shared" si="3"/>
        <v>0.126</v>
      </c>
      <c r="N11" s="9">
        <f t="shared" si="3"/>
        <v>9.3600000000000003E-2</v>
      </c>
      <c r="O11" s="9">
        <f t="shared" si="3"/>
        <v>6.8400000000000002E-2</v>
      </c>
      <c r="P11" s="9">
        <f t="shared" si="3"/>
        <v>5.04E-2</v>
      </c>
      <c r="Q11" s="9">
        <f t="shared" si="3"/>
        <v>3.9600000000000003E-2</v>
      </c>
      <c r="R11" s="9">
        <f t="shared" si="3"/>
        <v>3.5999999999999997E-2</v>
      </c>
      <c r="S11" s="9">
        <f t="shared" si="3"/>
        <v>3.9600000000000003E-2</v>
      </c>
      <c r="T11" s="9">
        <f t="shared" si="3"/>
        <v>5.04E-2</v>
      </c>
      <c r="U11" s="9">
        <f t="shared" si="3"/>
        <v>6.8400000000000002E-2</v>
      </c>
      <c r="V11" s="9">
        <f t="shared" si="3"/>
        <v>9.3600000000000003E-2</v>
      </c>
      <c r="W11" s="9">
        <f t="shared" si="3"/>
        <v>0.126</v>
      </c>
      <c r="X11" s="11">
        <f t="shared" si="3"/>
        <v>0.16559999999999997</v>
      </c>
      <c r="Y11" s="13">
        <f t="shared" si="4"/>
        <v>0.21239999999999998</v>
      </c>
      <c r="Z11">
        <f t="shared" si="4"/>
        <v>0.26640000000000003</v>
      </c>
      <c r="AA11">
        <f t="shared" si="4"/>
        <v>0.3276</v>
      </c>
      <c r="AB11">
        <f t="shared" si="4"/>
        <v>0.39600000000000002</v>
      </c>
    </row>
    <row r="12" spans="4:28" x14ac:dyDescent="0.3">
      <c r="F12">
        <v>7.2</v>
      </c>
      <c r="G12" s="1">
        <v>0.2</v>
      </c>
      <c r="H12">
        <f t="shared" si="5"/>
        <v>0.70400000000000018</v>
      </c>
      <c r="I12">
        <f t="shared" si="3"/>
        <v>0.58240000000000014</v>
      </c>
      <c r="J12">
        <f t="shared" si="3"/>
        <v>0.47360000000000013</v>
      </c>
      <c r="K12" s="8">
        <f t="shared" si="3"/>
        <v>0.37760000000000005</v>
      </c>
      <c r="L12" s="9">
        <f t="shared" si="3"/>
        <v>0.29440000000000005</v>
      </c>
      <c r="M12" s="9">
        <f t="shared" si="3"/>
        <v>0.22400000000000003</v>
      </c>
      <c r="N12" s="9">
        <f t="shared" si="3"/>
        <v>0.16640000000000005</v>
      </c>
      <c r="O12" s="9">
        <f t="shared" si="3"/>
        <v>0.12160000000000003</v>
      </c>
      <c r="P12" s="9">
        <f t="shared" si="3"/>
        <v>8.9600000000000027E-2</v>
      </c>
      <c r="Q12" s="9">
        <f t="shared" si="3"/>
        <v>7.0400000000000018E-2</v>
      </c>
      <c r="R12" s="9">
        <f t="shared" si="3"/>
        <v>6.4000000000000015E-2</v>
      </c>
      <c r="S12" s="9">
        <f t="shared" si="3"/>
        <v>7.0400000000000018E-2</v>
      </c>
      <c r="T12" s="9">
        <f t="shared" si="3"/>
        <v>8.9600000000000027E-2</v>
      </c>
      <c r="U12" s="9">
        <f t="shared" si="3"/>
        <v>0.12160000000000003</v>
      </c>
      <c r="V12" s="9">
        <f t="shared" si="3"/>
        <v>0.16640000000000005</v>
      </c>
      <c r="W12" s="9">
        <f t="shared" si="3"/>
        <v>0.22400000000000003</v>
      </c>
      <c r="X12" s="9">
        <f t="shared" si="3"/>
        <v>0.29440000000000005</v>
      </c>
      <c r="Y12" s="10">
        <f t="shared" si="4"/>
        <v>0.37760000000000005</v>
      </c>
      <c r="Z12">
        <f t="shared" si="4"/>
        <v>0.47360000000000013</v>
      </c>
      <c r="AA12">
        <f t="shared" si="4"/>
        <v>0.58240000000000014</v>
      </c>
      <c r="AB12">
        <f t="shared" si="4"/>
        <v>0.70400000000000018</v>
      </c>
    </row>
    <row r="13" spans="4:28" x14ac:dyDescent="0.3">
      <c r="F13">
        <v>9</v>
      </c>
      <c r="G13" s="1">
        <v>0</v>
      </c>
      <c r="H13">
        <f t="shared" si="5"/>
        <v>1.1000000000000001</v>
      </c>
      <c r="I13">
        <f t="shared" si="3"/>
        <v>0.91</v>
      </c>
      <c r="J13">
        <f t="shared" si="3"/>
        <v>0.7400000000000001</v>
      </c>
      <c r="K13" s="8">
        <f t="shared" si="3"/>
        <v>0.59</v>
      </c>
      <c r="L13" s="9">
        <f t="shared" si="3"/>
        <v>0.45999999999999996</v>
      </c>
      <c r="M13" s="9">
        <f t="shared" si="3"/>
        <v>0.35</v>
      </c>
      <c r="N13" s="9">
        <f t="shared" si="3"/>
        <v>0.26</v>
      </c>
      <c r="O13" s="9">
        <f t="shared" si="3"/>
        <v>0.19</v>
      </c>
      <c r="P13" s="9">
        <f t="shared" si="3"/>
        <v>0.14000000000000001</v>
      </c>
      <c r="Q13" s="9">
        <f t="shared" si="3"/>
        <v>0.11000000000000001</v>
      </c>
      <c r="R13" s="9">
        <f t="shared" si="3"/>
        <v>0.1</v>
      </c>
      <c r="S13" s="9">
        <f t="shared" si="3"/>
        <v>0.11000000000000001</v>
      </c>
      <c r="T13" s="9">
        <f t="shared" si="3"/>
        <v>0.14000000000000001</v>
      </c>
      <c r="U13" s="9">
        <f t="shared" si="3"/>
        <v>0.19</v>
      </c>
      <c r="V13" s="9">
        <f t="shared" si="3"/>
        <v>0.26</v>
      </c>
      <c r="W13" s="9">
        <f t="shared" si="3"/>
        <v>0.35</v>
      </c>
      <c r="X13" s="9">
        <f t="shared" si="3"/>
        <v>0.45999999999999996</v>
      </c>
      <c r="Y13" s="10">
        <f t="shared" si="4"/>
        <v>0.59</v>
      </c>
      <c r="Z13">
        <f t="shared" si="4"/>
        <v>0.7400000000000001</v>
      </c>
      <c r="AA13">
        <f t="shared" si="4"/>
        <v>0.91</v>
      </c>
      <c r="AB13">
        <f t="shared" si="4"/>
        <v>1.1000000000000001</v>
      </c>
    </row>
    <row r="14" spans="4:28" ht="15" thickBot="1" x14ac:dyDescent="0.35">
      <c r="F14">
        <v>10.8</v>
      </c>
      <c r="G14" s="1">
        <v>0.2</v>
      </c>
      <c r="H14">
        <f t="shared" si="5"/>
        <v>0.70400000000000018</v>
      </c>
      <c r="I14">
        <f t="shared" si="3"/>
        <v>0.58240000000000014</v>
      </c>
      <c r="J14">
        <f t="shared" si="3"/>
        <v>0.47360000000000013</v>
      </c>
      <c r="K14" s="8">
        <f t="shared" si="3"/>
        <v>0.37760000000000005</v>
      </c>
      <c r="L14" s="9">
        <f t="shared" si="3"/>
        <v>0.29440000000000005</v>
      </c>
      <c r="M14" s="9">
        <f t="shared" si="3"/>
        <v>0.22400000000000003</v>
      </c>
      <c r="N14" s="9">
        <f t="shared" si="3"/>
        <v>0.16640000000000005</v>
      </c>
      <c r="O14" s="9">
        <f t="shared" si="3"/>
        <v>0.12160000000000003</v>
      </c>
      <c r="P14" s="9">
        <f t="shared" si="3"/>
        <v>8.9600000000000027E-2</v>
      </c>
      <c r="Q14" s="9">
        <f t="shared" si="3"/>
        <v>7.0400000000000018E-2</v>
      </c>
      <c r="R14" s="9">
        <f t="shared" si="3"/>
        <v>6.4000000000000015E-2</v>
      </c>
      <c r="S14" s="9">
        <f t="shared" si="3"/>
        <v>7.0400000000000018E-2</v>
      </c>
      <c r="T14" s="9">
        <f t="shared" si="3"/>
        <v>8.9600000000000027E-2</v>
      </c>
      <c r="U14" s="9">
        <f t="shared" si="3"/>
        <v>0.12160000000000003</v>
      </c>
      <c r="V14" s="9">
        <f t="shared" si="3"/>
        <v>0.16640000000000005</v>
      </c>
      <c r="W14" s="9">
        <f t="shared" si="3"/>
        <v>0.22400000000000003</v>
      </c>
      <c r="X14" s="9">
        <f t="shared" si="3"/>
        <v>0.29440000000000005</v>
      </c>
      <c r="Y14" s="10">
        <f t="shared" si="4"/>
        <v>0.37760000000000005</v>
      </c>
      <c r="Z14">
        <f t="shared" si="4"/>
        <v>0.47360000000000013</v>
      </c>
      <c r="AA14">
        <f t="shared" si="4"/>
        <v>0.58240000000000014</v>
      </c>
      <c r="AB14">
        <f t="shared" si="4"/>
        <v>0.70400000000000018</v>
      </c>
    </row>
    <row r="15" spans="4:28" x14ac:dyDescent="0.3">
      <c r="F15">
        <v>12.600000000000001</v>
      </c>
      <c r="G15" s="1">
        <v>0.4</v>
      </c>
      <c r="H15">
        <f t="shared" si="5"/>
        <v>0.39600000000000002</v>
      </c>
      <c r="I15">
        <f t="shared" si="3"/>
        <v>0.3276</v>
      </c>
      <c r="J15">
        <f t="shared" si="3"/>
        <v>0.26640000000000003</v>
      </c>
      <c r="K15" s="5">
        <f t="shared" si="3"/>
        <v>0.21239999999999998</v>
      </c>
      <c r="L15" s="7">
        <f t="shared" si="3"/>
        <v>0.16559999999999997</v>
      </c>
      <c r="M15" s="9">
        <f t="shared" si="3"/>
        <v>0.126</v>
      </c>
      <c r="N15" s="9">
        <f t="shared" si="3"/>
        <v>9.3600000000000003E-2</v>
      </c>
      <c r="O15" s="9">
        <f t="shared" si="3"/>
        <v>6.8400000000000002E-2</v>
      </c>
      <c r="P15" s="9">
        <f t="shared" si="3"/>
        <v>5.04E-2</v>
      </c>
      <c r="Q15" s="9">
        <f t="shared" si="3"/>
        <v>3.9600000000000003E-2</v>
      </c>
      <c r="R15" s="9">
        <f t="shared" si="3"/>
        <v>3.5999999999999997E-2</v>
      </c>
      <c r="S15" s="9">
        <f t="shared" si="3"/>
        <v>3.9600000000000003E-2</v>
      </c>
      <c r="T15" s="9">
        <f t="shared" si="3"/>
        <v>5.04E-2</v>
      </c>
      <c r="U15" s="9">
        <f t="shared" si="3"/>
        <v>6.8400000000000002E-2</v>
      </c>
      <c r="V15" s="9">
        <f t="shared" si="3"/>
        <v>9.3600000000000003E-2</v>
      </c>
      <c r="W15" s="9">
        <f t="shared" si="3"/>
        <v>0.126</v>
      </c>
      <c r="X15" s="5">
        <f t="shared" si="3"/>
        <v>0.16559999999999997</v>
      </c>
      <c r="Y15" s="7">
        <f t="shared" si="4"/>
        <v>0.21239999999999998</v>
      </c>
      <c r="Z15">
        <f t="shared" si="4"/>
        <v>0.26640000000000003</v>
      </c>
      <c r="AA15">
        <f t="shared" si="4"/>
        <v>0.3276</v>
      </c>
      <c r="AB15">
        <f t="shared" si="4"/>
        <v>0.39600000000000002</v>
      </c>
    </row>
    <row r="16" spans="4:28" ht="15" thickBot="1" x14ac:dyDescent="0.35">
      <c r="F16" s="4">
        <v>14.400000000000002</v>
      </c>
      <c r="G16" s="1">
        <v>0.6</v>
      </c>
      <c r="H16">
        <f t="shared" si="5"/>
        <v>0.17600000000000005</v>
      </c>
      <c r="I16">
        <f t="shared" si="3"/>
        <v>0.14560000000000003</v>
      </c>
      <c r="J16">
        <f t="shared" si="3"/>
        <v>0.11840000000000003</v>
      </c>
      <c r="K16" s="11">
        <f t="shared" si="3"/>
        <v>9.4400000000000012E-2</v>
      </c>
      <c r="L16" s="13">
        <f t="shared" si="3"/>
        <v>7.3600000000000013E-2</v>
      </c>
      <c r="M16" s="12">
        <f t="shared" si="3"/>
        <v>5.6000000000000008E-2</v>
      </c>
      <c r="N16" s="12">
        <f t="shared" si="3"/>
        <v>4.1600000000000012E-2</v>
      </c>
      <c r="O16" s="12">
        <f t="shared" si="3"/>
        <v>3.0400000000000007E-2</v>
      </c>
      <c r="P16" s="12">
        <f t="shared" si="3"/>
        <v>2.2400000000000007E-2</v>
      </c>
      <c r="Q16" s="12">
        <f t="shared" si="3"/>
        <v>1.7600000000000005E-2</v>
      </c>
      <c r="R16" s="12">
        <f t="shared" si="3"/>
        <v>1.6000000000000004E-2</v>
      </c>
      <c r="S16" s="12">
        <f t="shared" si="3"/>
        <v>1.7600000000000005E-2</v>
      </c>
      <c r="T16" s="12">
        <f t="shared" si="3"/>
        <v>2.2400000000000007E-2</v>
      </c>
      <c r="U16" s="12">
        <f t="shared" si="3"/>
        <v>3.0400000000000007E-2</v>
      </c>
      <c r="V16" s="12">
        <f t="shared" si="3"/>
        <v>4.1600000000000012E-2</v>
      </c>
      <c r="W16" s="12">
        <f t="shared" si="3"/>
        <v>5.6000000000000008E-2</v>
      </c>
      <c r="X16" s="11">
        <f t="shared" si="3"/>
        <v>7.3600000000000013E-2</v>
      </c>
      <c r="Y16" s="13">
        <f t="shared" si="4"/>
        <v>9.4400000000000012E-2</v>
      </c>
      <c r="Z16">
        <f t="shared" si="4"/>
        <v>0.11840000000000003</v>
      </c>
      <c r="AA16">
        <f t="shared" si="4"/>
        <v>0.14560000000000003</v>
      </c>
      <c r="AB16">
        <f t="shared" si="4"/>
        <v>0.17600000000000005</v>
      </c>
    </row>
    <row r="17" spans="6:28" x14ac:dyDescent="0.3">
      <c r="F17">
        <v>16.200000000000003</v>
      </c>
      <c r="G17" s="1">
        <v>0.8</v>
      </c>
      <c r="H17">
        <f t="shared" si="5"/>
        <v>4.3999999999999984E-2</v>
      </c>
      <c r="I17">
        <f t="shared" si="3"/>
        <v>3.6399999999999981E-2</v>
      </c>
      <c r="J17">
        <f t="shared" si="3"/>
        <v>2.9599999999999991E-2</v>
      </c>
      <c r="K17">
        <f t="shared" si="3"/>
        <v>2.3599999999999986E-2</v>
      </c>
      <c r="L17">
        <f t="shared" si="3"/>
        <v>1.8399999999999989E-2</v>
      </c>
      <c r="M17">
        <f t="shared" si="3"/>
        <v>1.3999999999999992E-2</v>
      </c>
      <c r="N17">
        <f t="shared" si="3"/>
        <v>1.0399999999999994E-2</v>
      </c>
      <c r="O17">
        <f t="shared" si="3"/>
        <v>7.5999999999999965E-3</v>
      </c>
      <c r="P17">
        <f t="shared" si="3"/>
        <v>5.5999999999999973E-3</v>
      </c>
      <c r="Q17">
        <f t="shared" si="3"/>
        <v>4.3999999999999985E-3</v>
      </c>
      <c r="R17">
        <f t="shared" si="3"/>
        <v>3.9999999999999983E-3</v>
      </c>
      <c r="S17">
        <f t="shared" si="3"/>
        <v>4.3999999999999985E-3</v>
      </c>
      <c r="T17">
        <f t="shared" si="3"/>
        <v>5.5999999999999973E-3</v>
      </c>
      <c r="U17">
        <f t="shared" si="3"/>
        <v>7.5999999999999965E-3</v>
      </c>
      <c r="V17">
        <f t="shared" si="3"/>
        <v>1.0399999999999994E-2</v>
      </c>
      <c r="W17">
        <f t="shared" si="3"/>
        <v>1.3999999999999992E-2</v>
      </c>
      <c r="X17">
        <f t="shared" si="3"/>
        <v>1.8399999999999989E-2</v>
      </c>
      <c r="Y17">
        <f t="shared" si="4"/>
        <v>2.3599999999999986E-2</v>
      </c>
      <c r="Z17">
        <f t="shared" si="4"/>
        <v>2.9599999999999991E-2</v>
      </c>
      <c r="AA17">
        <f t="shared" si="4"/>
        <v>3.6399999999999981E-2</v>
      </c>
      <c r="AB17">
        <f t="shared" si="4"/>
        <v>4.3999999999999984E-2</v>
      </c>
    </row>
    <row r="18" spans="6:28" x14ac:dyDescent="0.3">
      <c r="F18">
        <v>18.000000000000004</v>
      </c>
      <c r="G18" s="1">
        <v>1</v>
      </c>
      <c r="H18">
        <f t="shared" si="5"/>
        <v>0</v>
      </c>
      <c r="I18">
        <f t="shared" si="3"/>
        <v>0</v>
      </c>
      <c r="J18">
        <f t="shared" si="3"/>
        <v>0</v>
      </c>
      <c r="K18">
        <f t="shared" si="3"/>
        <v>0</v>
      </c>
      <c r="L18">
        <f t="shared" si="3"/>
        <v>0</v>
      </c>
      <c r="M18">
        <f t="shared" si="3"/>
        <v>0</v>
      </c>
      <c r="N18">
        <f t="shared" si="3"/>
        <v>0</v>
      </c>
      <c r="O18">
        <f t="shared" si="3"/>
        <v>0</v>
      </c>
      <c r="P18">
        <f t="shared" si="3"/>
        <v>0</v>
      </c>
      <c r="Q18">
        <f t="shared" si="3"/>
        <v>0</v>
      </c>
      <c r="R18">
        <f t="shared" si="3"/>
        <v>0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0</v>
      </c>
      <c r="W18">
        <f t="shared" si="3"/>
        <v>0</v>
      </c>
      <c r="X18">
        <f t="shared" si="3"/>
        <v>0</v>
      </c>
      <c r="Y18">
        <f t="shared" si="4"/>
        <v>0</v>
      </c>
      <c r="Z18">
        <f t="shared" si="4"/>
        <v>0</v>
      </c>
      <c r="AA18">
        <f t="shared" si="4"/>
        <v>0</v>
      </c>
      <c r="AB18">
        <f t="shared" si="4"/>
        <v>0</v>
      </c>
    </row>
    <row r="21" spans="6:28" x14ac:dyDescent="0.3">
      <c r="H21">
        <f>(1-$G8)^2*H$5</f>
        <v>0</v>
      </c>
      <c r="I21">
        <f t="shared" ref="I21:AB21" si="6">(1-$G8)^2*I$5</f>
        <v>0</v>
      </c>
      <c r="J21">
        <f t="shared" si="6"/>
        <v>0</v>
      </c>
      <c r="K21">
        <f t="shared" si="6"/>
        <v>0</v>
      </c>
      <c r="L21">
        <f t="shared" si="6"/>
        <v>0</v>
      </c>
      <c r="M21">
        <f t="shared" si="6"/>
        <v>0</v>
      </c>
      <c r="N21">
        <f t="shared" si="6"/>
        <v>0</v>
      </c>
      <c r="O21">
        <f t="shared" si="6"/>
        <v>0</v>
      </c>
      <c r="P21">
        <f t="shared" si="6"/>
        <v>0</v>
      </c>
      <c r="Q21">
        <f t="shared" si="6"/>
        <v>0</v>
      </c>
      <c r="R21">
        <f t="shared" si="6"/>
        <v>0</v>
      </c>
      <c r="S21">
        <f t="shared" si="6"/>
        <v>0</v>
      </c>
      <c r="T21">
        <f t="shared" si="6"/>
        <v>0</v>
      </c>
      <c r="U21">
        <f t="shared" si="6"/>
        <v>0</v>
      </c>
      <c r="V21">
        <f t="shared" si="6"/>
        <v>0</v>
      </c>
      <c r="W21">
        <f t="shared" si="6"/>
        <v>0</v>
      </c>
      <c r="X21">
        <f t="shared" si="6"/>
        <v>0</v>
      </c>
      <c r="Y21">
        <f t="shared" si="6"/>
        <v>0</v>
      </c>
      <c r="Z21">
        <f t="shared" si="6"/>
        <v>0</v>
      </c>
      <c r="AA21">
        <f t="shared" si="6"/>
        <v>0</v>
      </c>
      <c r="AB21">
        <f t="shared" si="6"/>
        <v>0</v>
      </c>
    </row>
    <row r="22" spans="6:28" ht="15" thickBot="1" x14ac:dyDescent="0.35">
      <c r="H22">
        <f>(1-$G9)^$K$2*H$5</f>
        <v>0.59365263641030674</v>
      </c>
      <c r="I22">
        <f t="shared" ref="I22:AB22" si="7">(1-$G9)^$K$2*I$5</f>
        <v>5.1955985383605942E-2</v>
      </c>
      <c r="J22">
        <f t="shared" si="7"/>
        <v>2.3855353244261347E-2</v>
      </c>
      <c r="K22">
        <f t="shared" si="7"/>
        <v>1.6358457883717283E-2</v>
      </c>
      <c r="L22">
        <f t="shared" si="7"/>
        <v>1.3154587427570575E-2</v>
      </c>
      <c r="M22">
        <f t="shared" si="7"/>
        <v>1.1460724624734745E-2</v>
      </c>
      <c r="N22">
        <f t="shared" si="7"/>
        <v>1.0462870241393151E-2</v>
      </c>
      <c r="O22">
        <f t="shared" si="7"/>
        <v>9.8472798729999523E-3</v>
      </c>
      <c r="P22">
        <f t="shared" si="7"/>
        <v>9.4722202123089932E-3</v>
      </c>
      <c r="Q22">
        <f t="shared" si="7"/>
        <v>9.2685828736128045E-3</v>
      </c>
      <c r="R22">
        <f t="shared" si="7"/>
        <v>9.2039035635712967E-3</v>
      </c>
      <c r="S22">
        <f t="shared" si="7"/>
        <v>9.2685828736128045E-3</v>
      </c>
      <c r="T22">
        <f t="shared" si="7"/>
        <v>9.4722202123089967E-3</v>
      </c>
      <c r="U22">
        <f t="shared" si="7"/>
        <v>9.8472798729999454E-3</v>
      </c>
      <c r="V22">
        <f t="shared" si="7"/>
        <v>1.0462870241393158E-2</v>
      </c>
      <c r="W22">
        <f t="shared" si="7"/>
        <v>1.1460724624734745E-2</v>
      </c>
      <c r="X22">
        <f t="shared" si="7"/>
        <v>1.3154587427570575E-2</v>
      </c>
      <c r="Y22">
        <f t="shared" si="7"/>
        <v>1.6358457883717266E-2</v>
      </c>
      <c r="Z22">
        <f t="shared" si="7"/>
        <v>2.3855353244261371E-2</v>
      </c>
      <c r="AA22">
        <f t="shared" si="7"/>
        <v>5.1955985383605942E-2</v>
      </c>
      <c r="AB22">
        <f t="shared" si="7"/>
        <v>0.59365263641030652</v>
      </c>
    </row>
    <row r="23" spans="6:28" x14ac:dyDescent="0.3">
      <c r="H23">
        <f t="shared" ref="H23:AB23" si="8">(1-$G10)^$K$2*H$5</f>
        <v>2.3746105456412283</v>
      </c>
      <c r="I23">
        <f t="shared" si="8"/>
        <v>0.20782394153442391</v>
      </c>
      <c r="J23">
        <f t="shared" si="8"/>
        <v>9.5421412977045442E-2</v>
      </c>
      <c r="K23" s="5">
        <f t="shared" si="8"/>
        <v>6.5433831534869188E-2</v>
      </c>
      <c r="L23" s="7">
        <f t="shared" si="8"/>
        <v>5.2618349710282335E-2</v>
      </c>
      <c r="M23" s="6">
        <f t="shared" si="8"/>
        <v>4.5842898498939008E-2</v>
      </c>
      <c r="N23" s="6">
        <f t="shared" si="8"/>
        <v>4.1851480965572632E-2</v>
      </c>
      <c r="O23" s="6">
        <f t="shared" si="8"/>
        <v>3.9389119491999837E-2</v>
      </c>
      <c r="P23" s="6">
        <f t="shared" si="8"/>
        <v>3.7888880849236001E-2</v>
      </c>
      <c r="Q23" s="6">
        <f t="shared" si="8"/>
        <v>3.7074331494451246E-2</v>
      </c>
      <c r="R23" s="6">
        <f t="shared" si="8"/>
        <v>3.6815614254285207E-2</v>
      </c>
      <c r="S23" s="6">
        <f t="shared" si="8"/>
        <v>3.7074331494451246E-2</v>
      </c>
      <c r="T23" s="6">
        <f t="shared" si="8"/>
        <v>3.7888880849236015E-2</v>
      </c>
      <c r="U23" s="6">
        <f t="shared" si="8"/>
        <v>3.9389119491999809E-2</v>
      </c>
      <c r="V23" s="6">
        <f t="shared" si="8"/>
        <v>4.185148096557266E-2</v>
      </c>
      <c r="W23" s="6">
        <f t="shared" si="8"/>
        <v>4.5842898498939008E-2</v>
      </c>
      <c r="X23" s="5">
        <f t="shared" si="8"/>
        <v>5.2618349710282335E-2</v>
      </c>
      <c r="Y23" s="7">
        <f t="shared" si="8"/>
        <v>6.5433831534869105E-2</v>
      </c>
      <c r="Z23">
        <f t="shared" si="8"/>
        <v>9.5421412977045553E-2</v>
      </c>
      <c r="AA23">
        <f t="shared" si="8"/>
        <v>0.20782394153442391</v>
      </c>
      <c r="AB23">
        <f t="shared" si="8"/>
        <v>2.3746105456412279</v>
      </c>
    </row>
    <row r="24" spans="6:28" ht="15" thickBot="1" x14ac:dyDescent="0.35">
      <c r="H24">
        <f t="shared" ref="H24:AB24" si="9">(1-$G11)^$K$2*H$5</f>
        <v>5.3428737276927629</v>
      </c>
      <c r="I24">
        <f t="shared" si="9"/>
        <v>0.46760386845245366</v>
      </c>
      <c r="J24">
        <f t="shared" si="9"/>
        <v>0.21469817919835221</v>
      </c>
      <c r="K24" s="11">
        <f t="shared" si="9"/>
        <v>0.14722612095345564</v>
      </c>
      <c r="L24" s="13">
        <f t="shared" si="9"/>
        <v>0.11839128684813523</v>
      </c>
      <c r="M24" s="9">
        <f t="shared" si="9"/>
        <v>0.10314652162261274</v>
      </c>
      <c r="N24" s="9">
        <f t="shared" si="9"/>
        <v>9.4165832172538405E-2</v>
      </c>
      <c r="O24" s="9">
        <f t="shared" si="9"/>
        <v>8.8625518856999611E-2</v>
      </c>
      <c r="P24" s="9">
        <f t="shared" si="9"/>
        <v>8.5249981910780981E-2</v>
      </c>
      <c r="Q24" s="9">
        <f t="shared" si="9"/>
        <v>8.3417245862515282E-2</v>
      </c>
      <c r="R24" s="9">
        <f t="shared" si="9"/>
        <v>8.2835132072141701E-2</v>
      </c>
      <c r="S24" s="9">
        <f t="shared" si="9"/>
        <v>8.3417245862515282E-2</v>
      </c>
      <c r="T24" s="9">
        <f t="shared" si="9"/>
        <v>8.5249981910781009E-2</v>
      </c>
      <c r="U24" s="9">
        <f t="shared" si="9"/>
        <v>8.8625518856999555E-2</v>
      </c>
      <c r="V24" s="9">
        <f t="shared" si="9"/>
        <v>9.4165832172538461E-2</v>
      </c>
      <c r="W24" s="9">
        <f t="shared" si="9"/>
        <v>0.10314652162261274</v>
      </c>
      <c r="X24" s="11">
        <f t="shared" si="9"/>
        <v>0.11839128684813523</v>
      </c>
      <c r="Y24" s="13">
        <f t="shared" si="9"/>
        <v>0.14722612095345547</v>
      </c>
      <c r="Z24">
        <f t="shared" si="9"/>
        <v>0.21469817919835243</v>
      </c>
      <c r="AA24">
        <f t="shared" si="9"/>
        <v>0.46760386845245366</v>
      </c>
      <c r="AB24">
        <f t="shared" si="9"/>
        <v>5.342873727692762</v>
      </c>
    </row>
    <row r="25" spans="6:28" x14ac:dyDescent="0.3">
      <c r="H25">
        <f t="shared" ref="H25:AB25" si="10">(1-$G12)^$K$2*H$5</f>
        <v>9.4984421825649132</v>
      </c>
      <c r="I25">
        <f t="shared" si="10"/>
        <v>0.83129576613769562</v>
      </c>
      <c r="J25">
        <f t="shared" si="10"/>
        <v>0.38168565190818177</v>
      </c>
      <c r="K25" s="8">
        <f t="shared" si="10"/>
        <v>0.26173532613947675</v>
      </c>
      <c r="L25" s="9">
        <f t="shared" si="10"/>
        <v>0.21047339884112934</v>
      </c>
      <c r="M25" s="9">
        <f t="shared" si="10"/>
        <v>0.18337159399575603</v>
      </c>
      <c r="N25" s="9">
        <f t="shared" si="10"/>
        <v>0.16740592386229053</v>
      </c>
      <c r="O25" s="9">
        <f t="shared" si="10"/>
        <v>0.15755647796799935</v>
      </c>
      <c r="P25" s="9">
        <f t="shared" si="10"/>
        <v>0.151555523396944</v>
      </c>
      <c r="Q25" s="9">
        <f t="shared" si="10"/>
        <v>0.14829732597780498</v>
      </c>
      <c r="R25" s="9">
        <f t="shared" si="10"/>
        <v>0.14726245701714083</v>
      </c>
      <c r="S25" s="9">
        <f t="shared" si="10"/>
        <v>0.14829732597780498</v>
      </c>
      <c r="T25" s="9">
        <f t="shared" si="10"/>
        <v>0.15155552339694406</v>
      </c>
      <c r="U25" s="9">
        <f t="shared" si="10"/>
        <v>0.15755647796799924</v>
      </c>
      <c r="V25" s="9">
        <f t="shared" si="10"/>
        <v>0.16740592386229064</v>
      </c>
      <c r="W25" s="9">
        <f t="shared" si="10"/>
        <v>0.18337159399575603</v>
      </c>
      <c r="X25" s="9">
        <f t="shared" si="10"/>
        <v>0.21047339884112934</v>
      </c>
      <c r="Y25" s="10">
        <f t="shared" si="10"/>
        <v>0.26173532613947642</v>
      </c>
      <c r="Z25">
        <f t="shared" si="10"/>
        <v>0.38168565190818221</v>
      </c>
      <c r="AA25">
        <f t="shared" si="10"/>
        <v>0.83129576613769562</v>
      </c>
      <c r="AB25">
        <f t="shared" si="10"/>
        <v>9.4984421825649115</v>
      </c>
    </row>
    <row r="26" spans="6:28" x14ac:dyDescent="0.3">
      <c r="H26">
        <f t="shared" ref="H26:AB26" si="11">(1-$G13)^$K$2*H$5</f>
        <v>14.841315910257675</v>
      </c>
      <c r="I26">
        <f t="shared" si="11"/>
        <v>1.2988996345901491</v>
      </c>
      <c r="J26">
        <f t="shared" si="11"/>
        <v>0.59638383110653392</v>
      </c>
      <c r="K26" s="8">
        <f t="shared" si="11"/>
        <v>0.40896144709293231</v>
      </c>
      <c r="L26" s="9">
        <f t="shared" si="11"/>
        <v>0.32886468568926452</v>
      </c>
      <c r="M26" s="9">
        <f t="shared" si="11"/>
        <v>0.28651811561836876</v>
      </c>
      <c r="N26" s="9">
        <f t="shared" si="11"/>
        <v>0.26157175603482891</v>
      </c>
      <c r="O26" s="9">
        <f t="shared" si="11"/>
        <v>0.24618199682499892</v>
      </c>
      <c r="P26" s="9">
        <f t="shared" si="11"/>
        <v>0.23680550530772496</v>
      </c>
      <c r="Q26" s="9">
        <f t="shared" si="11"/>
        <v>0.23171457184032024</v>
      </c>
      <c r="R26" s="9">
        <f t="shared" si="11"/>
        <v>0.23009758908928252</v>
      </c>
      <c r="S26" s="9">
        <f t="shared" si="11"/>
        <v>0.23171457184032024</v>
      </c>
      <c r="T26" s="9">
        <f t="shared" si="11"/>
        <v>0.23680550530772504</v>
      </c>
      <c r="U26" s="9">
        <f t="shared" si="11"/>
        <v>0.24618199682499878</v>
      </c>
      <c r="V26" s="9">
        <f t="shared" si="11"/>
        <v>0.26157175603482907</v>
      </c>
      <c r="W26" s="9">
        <f t="shared" si="11"/>
        <v>0.28651811561836876</v>
      </c>
      <c r="X26" s="9">
        <f t="shared" si="11"/>
        <v>0.32886468568926452</v>
      </c>
      <c r="Y26" s="10">
        <f t="shared" si="11"/>
        <v>0.40896144709293186</v>
      </c>
      <c r="Z26">
        <f t="shared" si="11"/>
        <v>0.59638383110653459</v>
      </c>
      <c r="AA26">
        <f t="shared" si="11"/>
        <v>1.2988996345901491</v>
      </c>
      <c r="AB26">
        <f t="shared" si="11"/>
        <v>14.841315910257672</v>
      </c>
    </row>
    <row r="27" spans="6:28" ht="15" thickBot="1" x14ac:dyDescent="0.35">
      <c r="H27">
        <f t="shared" ref="H27:AB27" si="12">(1-$G14)^$K$2*H$5</f>
        <v>9.4984421825649132</v>
      </c>
      <c r="I27">
        <f t="shared" si="12"/>
        <v>0.83129576613769562</v>
      </c>
      <c r="J27">
        <f t="shared" si="12"/>
        <v>0.38168565190818177</v>
      </c>
      <c r="K27" s="8">
        <f t="shared" si="12"/>
        <v>0.26173532613947675</v>
      </c>
      <c r="L27" s="9">
        <f t="shared" si="12"/>
        <v>0.21047339884112934</v>
      </c>
      <c r="M27" s="9">
        <f t="shared" si="12"/>
        <v>0.18337159399575603</v>
      </c>
      <c r="N27" s="9">
        <f t="shared" si="12"/>
        <v>0.16740592386229053</v>
      </c>
      <c r="O27" s="9">
        <f t="shared" si="12"/>
        <v>0.15755647796799935</v>
      </c>
      <c r="P27" s="9">
        <f t="shared" si="12"/>
        <v>0.151555523396944</v>
      </c>
      <c r="Q27" s="9">
        <f t="shared" si="12"/>
        <v>0.14829732597780498</v>
      </c>
      <c r="R27" s="9">
        <f t="shared" si="12"/>
        <v>0.14726245701714083</v>
      </c>
      <c r="S27" s="9">
        <f t="shared" si="12"/>
        <v>0.14829732597780498</v>
      </c>
      <c r="T27" s="9">
        <f t="shared" si="12"/>
        <v>0.15155552339694406</v>
      </c>
      <c r="U27" s="9">
        <f t="shared" si="12"/>
        <v>0.15755647796799924</v>
      </c>
      <c r="V27" s="9">
        <f t="shared" si="12"/>
        <v>0.16740592386229064</v>
      </c>
      <c r="W27" s="9">
        <f t="shared" si="12"/>
        <v>0.18337159399575603</v>
      </c>
      <c r="X27" s="9">
        <f t="shared" si="12"/>
        <v>0.21047339884112934</v>
      </c>
      <c r="Y27" s="10">
        <f t="shared" si="12"/>
        <v>0.26173532613947642</v>
      </c>
      <c r="Z27">
        <f t="shared" si="12"/>
        <v>0.38168565190818221</v>
      </c>
      <c r="AA27">
        <f t="shared" si="12"/>
        <v>0.83129576613769562</v>
      </c>
      <c r="AB27">
        <f t="shared" si="12"/>
        <v>9.4984421825649115</v>
      </c>
    </row>
    <row r="28" spans="6:28" x14ac:dyDescent="0.3">
      <c r="H28">
        <f t="shared" ref="H28:AB28" si="13">(1-$G15)^$K$2*H$5</f>
        <v>5.3428737276927629</v>
      </c>
      <c r="I28">
        <f t="shared" si="13"/>
        <v>0.46760386845245366</v>
      </c>
      <c r="J28">
        <f t="shared" si="13"/>
        <v>0.21469817919835221</v>
      </c>
      <c r="K28" s="5">
        <f t="shared" si="13"/>
        <v>0.14722612095345564</v>
      </c>
      <c r="L28" s="7">
        <f t="shared" si="13"/>
        <v>0.11839128684813523</v>
      </c>
      <c r="M28" s="9">
        <f t="shared" si="13"/>
        <v>0.10314652162261274</v>
      </c>
      <c r="N28" s="9">
        <f t="shared" si="13"/>
        <v>9.4165832172538405E-2</v>
      </c>
      <c r="O28" s="9">
        <f t="shared" si="13"/>
        <v>8.8625518856999611E-2</v>
      </c>
      <c r="P28" s="9">
        <f t="shared" si="13"/>
        <v>8.5249981910780981E-2</v>
      </c>
      <c r="Q28" s="9">
        <f t="shared" si="13"/>
        <v>8.3417245862515282E-2</v>
      </c>
      <c r="R28" s="9">
        <f t="shared" si="13"/>
        <v>8.2835132072141701E-2</v>
      </c>
      <c r="S28" s="9">
        <f t="shared" si="13"/>
        <v>8.3417245862515282E-2</v>
      </c>
      <c r="T28" s="9">
        <f t="shared" si="13"/>
        <v>8.5249981910781009E-2</v>
      </c>
      <c r="U28" s="9">
        <f t="shared" si="13"/>
        <v>8.8625518856999555E-2</v>
      </c>
      <c r="V28" s="9">
        <f t="shared" si="13"/>
        <v>9.4165832172538461E-2</v>
      </c>
      <c r="W28" s="9">
        <f t="shared" si="13"/>
        <v>0.10314652162261274</v>
      </c>
      <c r="X28" s="5">
        <f t="shared" si="13"/>
        <v>0.11839128684813523</v>
      </c>
      <c r="Y28" s="7">
        <f t="shared" si="13"/>
        <v>0.14722612095345547</v>
      </c>
      <c r="Z28">
        <f t="shared" si="13"/>
        <v>0.21469817919835243</v>
      </c>
      <c r="AA28">
        <f t="shared" si="13"/>
        <v>0.46760386845245366</v>
      </c>
      <c r="AB28">
        <f t="shared" si="13"/>
        <v>5.342873727692762</v>
      </c>
    </row>
    <row r="29" spans="6:28" ht="15" thickBot="1" x14ac:dyDescent="0.35">
      <c r="H29">
        <f t="shared" ref="H29:AB29" si="14">(1-$G16)^$K$2*H$5</f>
        <v>2.3746105456412283</v>
      </c>
      <c r="I29">
        <f t="shared" si="14"/>
        <v>0.20782394153442391</v>
      </c>
      <c r="J29">
        <f t="shared" si="14"/>
        <v>9.5421412977045442E-2</v>
      </c>
      <c r="K29" s="11">
        <f t="shared" si="14"/>
        <v>6.5433831534869188E-2</v>
      </c>
      <c r="L29" s="13">
        <f t="shared" si="14"/>
        <v>5.2618349710282335E-2</v>
      </c>
      <c r="M29" s="12">
        <f t="shared" si="14"/>
        <v>4.5842898498939008E-2</v>
      </c>
      <c r="N29" s="12">
        <f t="shared" si="14"/>
        <v>4.1851480965572632E-2</v>
      </c>
      <c r="O29" s="12">
        <f t="shared" si="14"/>
        <v>3.9389119491999837E-2</v>
      </c>
      <c r="P29" s="12">
        <f t="shared" si="14"/>
        <v>3.7888880849236001E-2</v>
      </c>
      <c r="Q29" s="12">
        <f t="shared" si="14"/>
        <v>3.7074331494451246E-2</v>
      </c>
      <c r="R29" s="12">
        <f t="shared" si="14"/>
        <v>3.6815614254285207E-2</v>
      </c>
      <c r="S29" s="12">
        <f t="shared" si="14"/>
        <v>3.7074331494451246E-2</v>
      </c>
      <c r="T29" s="12">
        <f t="shared" si="14"/>
        <v>3.7888880849236015E-2</v>
      </c>
      <c r="U29" s="12">
        <f t="shared" si="14"/>
        <v>3.9389119491999809E-2</v>
      </c>
      <c r="V29" s="12">
        <f t="shared" si="14"/>
        <v>4.185148096557266E-2</v>
      </c>
      <c r="W29" s="12">
        <f t="shared" si="14"/>
        <v>4.5842898498939008E-2</v>
      </c>
      <c r="X29" s="11">
        <f t="shared" si="14"/>
        <v>5.2618349710282335E-2</v>
      </c>
      <c r="Y29" s="13">
        <f t="shared" si="14"/>
        <v>6.5433831534869105E-2</v>
      </c>
      <c r="Z29">
        <f t="shared" si="14"/>
        <v>9.5421412977045553E-2</v>
      </c>
      <c r="AA29">
        <f t="shared" si="14"/>
        <v>0.20782394153442391</v>
      </c>
      <c r="AB29">
        <f t="shared" si="14"/>
        <v>2.3746105456412279</v>
      </c>
    </row>
    <row r="30" spans="6:28" x14ac:dyDescent="0.3">
      <c r="H30">
        <f t="shared" ref="H30:AB30" si="15">(1-$G17)^$K$2*H$5</f>
        <v>0.59365263641030674</v>
      </c>
      <c r="I30">
        <f t="shared" si="15"/>
        <v>5.1955985383605942E-2</v>
      </c>
      <c r="J30">
        <f t="shared" si="15"/>
        <v>2.3855353244261347E-2</v>
      </c>
      <c r="K30">
        <f t="shared" si="15"/>
        <v>1.6358457883717283E-2</v>
      </c>
      <c r="L30">
        <f t="shared" si="15"/>
        <v>1.3154587427570575E-2</v>
      </c>
      <c r="M30">
        <f t="shared" si="15"/>
        <v>1.1460724624734745E-2</v>
      </c>
      <c r="N30">
        <f t="shared" si="15"/>
        <v>1.0462870241393151E-2</v>
      </c>
      <c r="O30">
        <f t="shared" si="15"/>
        <v>9.8472798729999523E-3</v>
      </c>
      <c r="P30">
        <f t="shared" si="15"/>
        <v>9.4722202123089932E-3</v>
      </c>
      <c r="Q30">
        <f t="shared" si="15"/>
        <v>9.2685828736128045E-3</v>
      </c>
      <c r="R30">
        <f t="shared" si="15"/>
        <v>9.2039035635712967E-3</v>
      </c>
      <c r="S30">
        <f t="shared" si="15"/>
        <v>9.2685828736128045E-3</v>
      </c>
      <c r="T30">
        <f t="shared" si="15"/>
        <v>9.4722202123089967E-3</v>
      </c>
      <c r="U30">
        <f t="shared" si="15"/>
        <v>9.8472798729999454E-3</v>
      </c>
      <c r="V30">
        <f t="shared" si="15"/>
        <v>1.0462870241393158E-2</v>
      </c>
      <c r="W30">
        <f t="shared" si="15"/>
        <v>1.1460724624734745E-2</v>
      </c>
      <c r="X30">
        <f t="shared" si="15"/>
        <v>1.3154587427570575E-2</v>
      </c>
      <c r="Y30">
        <f t="shared" si="15"/>
        <v>1.6358457883717266E-2</v>
      </c>
      <c r="Z30">
        <f t="shared" si="15"/>
        <v>2.3855353244261371E-2</v>
      </c>
      <c r="AA30">
        <f t="shared" si="15"/>
        <v>5.1955985383605942E-2</v>
      </c>
      <c r="AB30">
        <f t="shared" si="15"/>
        <v>0.59365263641030652</v>
      </c>
    </row>
    <row r="31" spans="6:28" x14ac:dyDescent="0.3">
      <c r="H31">
        <f t="shared" ref="H31:AB31" si="16">(1-$G18)^$K$2*H$5</f>
        <v>0</v>
      </c>
      <c r="I31">
        <f t="shared" si="16"/>
        <v>0</v>
      </c>
      <c r="J31">
        <f t="shared" si="16"/>
        <v>0</v>
      </c>
      <c r="K31">
        <f t="shared" si="16"/>
        <v>0</v>
      </c>
      <c r="L31">
        <f t="shared" si="16"/>
        <v>0</v>
      </c>
      <c r="M31">
        <f t="shared" si="16"/>
        <v>0</v>
      </c>
      <c r="N31">
        <f t="shared" si="16"/>
        <v>0</v>
      </c>
      <c r="O31">
        <f t="shared" si="16"/>
        <v>0</v>
      </c>
      <c r="P31">
        <f t="shared" si="16"/>
        <v>0</v>
      </c>
      <c r="Q31">
        <f t="shared" si="16"/>
        <v>0</v>
      </c>
      <c r="R31">
        <f t="shared" si="16"/>
        <v>0</v>
      </c>
      <c r="S31">
        <f t="shared" si="16"/>
        <v>0</v>
      </c>
      <c r="T31">
        <f t="shared" si="16"/>
        <v>0</v>
      </c>
      <c r="U31">
        <f t="shared" si="16"/>
        <v>0</v>
      </c>
      <c r="V31">
        <f t="shared" si="16"/>
        <v>0</v>
      </c>
      <c r="W31">
        <f t="shared" si="16"/>
        <v>0</v>
      </c>
      <c r="X31">
        <f t="shared" si="16"/>
        <v>0</v>
      </c>
      <c r="Y31">
        <f t="shared" si="16"/>
        <v>0</v>
      </c>
      <c r="Z31">
        <f t="shared" si="16"/>
        <v>0</v>
      </c>
      <c r="AA31">
        <f t="shared" si="16"/>
        <v>0</v>
      </c>
      <c r="AB31">
        <f t="shared" si="16"/>
        <v>0</v>
      </c>
    </row>
  </sheetData>
  <conditionalFormatting sqref="K10:Y1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23:Y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Yih Lu</dc:creator>
  <cp:lastModifiedBy>Jia Yih Lu</cp:lastModifiedBy>
  <dcterms:created xsi:type="dcterms:W3CDTF">2026-09-24T03:19:25Z</dcterms:created>
  <dcterms:modified xsi:type="dcterms:W3CDTF">2026-09-24T07:50:12Z</dcterms:modified>
</cp:coreProperties>
</file>